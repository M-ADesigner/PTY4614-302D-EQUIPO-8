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8\"/>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<sst xmlns="http://schemas.openxmlformats.org/spreadsheetml/2006/main" count="157" uniqueCount="98">
  <si>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</si>
  <si>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</si>
  <si>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</si>
  <si>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</si>
  <si>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</si>
  <si>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</si>
  <si>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</si>
  <si>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</si>
  <si>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</si>
  <si>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</si>
  <si>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</si>
  <si>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</si>
  <si>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</si>
  <si>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</si>
  <si>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</si>
  <si>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</si>
  <si>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</si>
  <si>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</si>
  <si>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</si>
  <si>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</si>
  <si>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</si>
  <si>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</si>
  <si>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</si>
  <si>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</si>
  <si>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</si>
  <si>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</si>
  <si>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</si>
  <si>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</si>
  <si>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</si>
  <si>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</si>
  <si>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</si>
  <si>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</si>
  <si>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</si>
  <si>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</si>
  <si>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</si>
  <si>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</si>
  <si>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</si>
  <si>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</si>
  <si>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</si>
  <si>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</si>
  <si>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</si>
  <si>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</si>
  <si>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</si>
  <si>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</si>
  <si>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</si>
  <si>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</si>
  <si>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</si>
  <si>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</si>
  <si>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</si>
  <si>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</si>
  <si>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</si>
  <si>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</si>
  <si>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</si>
  <si>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</si>
  <si>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</si>
  <si>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</si>
  <si>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</si>
  <si>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</si>
  <si>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</si>
  <si>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</si>
  <si>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</si>
  <si>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</si>
  <si>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</si>
  <si>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</si>
  <si>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</si>
  <si>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</si>
  <si>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</si>
  <si>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</si>
  <si>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</si>
  <si>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</si>
  <si>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</si>
  <si>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</si>
  <si>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</si>
  <si>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</si>
  <si>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</si>
  <si>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</si>
  <si>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</si>
  <si>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</si>
  <si>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</si>
  <si>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</si>
  <si>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</si>
  <si>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</si>
  <si>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</si>
  <si>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</si>
  <si>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</si>
  <si>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</si>
  <si>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</si>
  <si>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</si>
  <si>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</si>
  <si>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</si>
  <si>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</si>
  <si>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</si>
  <si>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</si>
  <si>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</si>
  <si>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</si>
  <si>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Maicol Andrés Avila Figueroa</t>
  </si>
  <si>
    <t>Joaquin Ignacio  Torres Nuñez</t>
  </si>
  <si>
    <t>Carolina jesús Cancino Tonacca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</si>
</sst>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topLeftCell="A2" zoomScale="120" zoomScaleNormal="120" workbookViewId="0">
      <selection activeCell="C56" sqref="C5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5.7</v>
      </c>
      <c r="D4" s="6">
        <f>$C$35</f>
        <v>6</v>
      </c>
      <c r="E4" s="43">
        <f>C4*C$2+D4*D$2</f>
        <v>5.7750000000000004</v>
      </c>
      <c r="G4" s="1"/>
    </row>
    <row r="5" spans="1:11" x14ac:dyDescent="0.25">
      <c r="A5" s="5">
        <v>2</v>
      </c>
      <c r="B5" s="32" t="s">
        <v>96</v>
      </c>
      <c r="C5" s="6">
        <f>EVALUACION1!$C$24</f>
        <v>5.7</v>
      </c>
      <c r="D5" s="6">
        <f>C47</f>
        <v>6</v>
      </c>
      <c r="E5" s="43">
        <f t="shared" ref="E5:E6" si="0">C5*C$2+D5*D$2</f>
        <v>5.7750000000000004</v>
      </c>
      <c r="G5" s="1"/>
    </row>
    <row r="6" spans="1:11" x14ac:dyDescent="0.25">
      <c r="A6" s="5">
        <v>3</v>
      </c>
      <c r="B6" s="32" t="s">
        <v>97</v>
      </c>
      <c r="C6" s="6">
        <f>EVALUACION1!$C$24</f>
        <v>5.7</v>
      </c>
      <c r="D6" s="6">
        <f>C58</f>
        <v>6</v>
      </c>
      <c r="E6" s="43">
        <f t="shared" si="0"/>
        <v>5.7750000000000004</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8</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1"/>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
      <c r="A24" s="50"/>
      <c r="B24" s="36" t="s">
        <v>12</v>
      </c>
      <c r="C24" s="20">
        <f>VLOOKUP(C23,ESCALA_IEP!A2:B142,2,FALSE)</f>
        <v>5.7</v>
      </c>
    </row>
    <row r="25" spans="1:11" ht="15.75" customHeight="1" x14ac:dyDescent="0.25"/>
    <row r="26" spans="1:11" ht="15.75" customHeight="1" x14ac:dyDescent="0.25"/>
    <row r="27" spans="1:11" ht="15.75" customHeight="1" x14ac:dyDescent="0.25">
      <c r="A27" s="60" t="s">
        <v>13</v>
      </c>
      <c r="B27" s="49" t="s">
        <v>14</v>
      </c>
      <c r="C27" s="52" t="str">
        <f>$B$4</f>
        <v>Maicol Andrés Avila Figueroa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8</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x14ac:dyDescent="0.3">
      <c r="A34" s="61"/>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Joaquin Ignacio  Torres Nuñez</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8</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x14ac:dyDescent="0.3">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Carolina jesús Cancino Tonacca</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8</v>
      </c>
      <c r="D56" s="16" t="str">
        <f>IF($C56=CL,"X","")</f>
        <v/>
      </c>
      <c r="E56" s="16" t="str">
        <f>IF(D56="X",100*0.1,"")</f>
        <v/>
      </c>
      <c r="F56" s="16" t="str">
        <f>IF($C56=L,"X","")</f>
        <v>X</v>
      </c>
      <c r="G56" s="16">
        <f>IF(F56="X",60*0.1,"")</f>
        <v>6</v>
      </c>
      <c r="H56" s="16" t="str">
        <f>IF($C56=ML,"X","")</f>
        <v/>
      </c>
      <c r="I56" s="16" t="str">
        <f>IF(H56="X",30*0.1,"")</f>
        <v/>
      </c>
      <c r="J56" s="16" t="str">
        <f>IF($C56=NL,"X","")</f>
        <v/>
      </c>
      <c r="K56" s="16" t="str">
        <f>IF($J56="X",0,"")</f>
        <v/>
      </c>
    </row>
    <row r="57" spans="1:11" ht="15.75" customHeight="1" x14ac:dyDescent="0.3">
      <c r="A57" s="61"/>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2026-09-22T14:49:24Z</dcterms:modified>
  <cp:category/>
  <cp:contentStatus/>
</cp:coreProperties>
</file>